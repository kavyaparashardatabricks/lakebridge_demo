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SQL Special Patterns" sheetId="5" r:id="rId5"/>
    <sheet name="Functions" sheetId="6" r:id="rId6"/>
    <sheet name="Functions by Script" sheetId="7" r:id="rId7"/>
    <sheet name="Scripts Functions Xref" sheetId="8" r:id="rId8"/>
    <sheet name="Referenced Objects" sheetId="9" r:id="rId9"/>
    <sheet name="Program-Object Xref" sheetId="10" r:id="rId10"/>
    <sheet name="RAW_PROGRAM_OBJECT_XREF" sheetId="11" r:id="rId11"/>
    <sheet name="RAW_PROGRAM_PARAM_LIST" sheetId="12" r:id="rId12"/>
    <sheet name="SQL Data Types" sheetId="13" r:id="rId13"/>
  </sheets>
  <definedNames>
    <definedName name="_xlnm._FilterDatabase" localSheetId="5" hidden="1">Functions!$A$1:$B$36</definedName>
    <definedName name="_xlnm._FilterDatabase" localSheetId="9" hidden="1">'Program-Object Xref'!$A$1:$T$5</definedName>
    <definedName name="_xlnm._FilterDatabase" localSheetId="10" hidden="1">RAW_PROGRAM_OBJECT_XREF!$A$1:$D$30</definedName>
    <definedName name="_xlnm._FilterDatabase" localSheetId="11" hidden="1">RAW_PROGRAM_PARAM_LIST!$A$1:$C$6</definedName>
    <definedName name="_xlnm._FilterDatabase" localSheetId="8" hidden="1">'Referenced Objects'!$A$1:$G$20</definedName>
    <definedName name="_xlnm._FilterDatabase" localSheetId="12" hidden="1">'SQL Data Types'!$A$1:$B$18</definedName>
    <definedName name="_xlnm._FilterDatabase" localSheetId="1" hidden="1">'SQL Programs'!$A$1:$L$5</definedName>
    <definedName name="_xlnm._FilterDatabase" localSheetId="2" hidden="1">'SQL Script Categories'!$A$1:$B$25</definedName>
    <definedName name="_xlnm._FilterDatabase" localSheetId="4" hidden="1">'SQL Special Patterns'!$A$1:$E$1</definedName>
    <definedName name="_xlnm._FilterDatabase" localSheetId="3" hidden="1">'UNKNOWN SQL Category'!$A$1:$B$20</definedName>
  </definedNames>
  <calcPr calcId="124519" fullCalcOnLoad="1"/>
</workbook>
</file>

<file path=xl/sharedStrings.xml><?xml version="1.0" encoding="utf-8"?>
<sst xmlns="http://schemas.openxmlformats.org/spreadsheetml/2006/main" count="557" uniqueCount="245">
  <si>
    <t>Run date/time: 2026-05-28 23:42:17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</si>
  <si>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</si>
  <si>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</si>
  <si>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</si>
  <si>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</si>
  <si>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</si>
  <si>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</si>
  <si>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</si>
  <si>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</si>
  <si>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</si>
  <si>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</si>
  <si>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</si>
  <si>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</si>
  <si>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</si>
  <si>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</si>
  <si>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</si>
  <si>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</si>
  <si>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</si>
  <si>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</si>
  <si>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</si>
  <si>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</si>
  <si>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5.6.6 Build 20251204</t>
  </si>
  <si>
    <t>Command Line Options:</t>
  </si>
  <si>
    <t>Option</t>
  </si>
  <si>
    <t>Value</t>
  </si>
  <si>
    <t>-E</t>
  </si>
  <si>
    <t>-F</t>
  </si>
  <si>
    <t>-d</t>
  </si>
  <si>
    <t>/Users/kavya.parashar/Documents/customer_demos/lakebridge_demo/redshift</t>
  </si>
  <si>
    <t>-e</t>
  </si>
  <si>
    <t>-r</t>
  </si>
  <si>
    <t>/Users/kavya.parashar/Documents/customer_demos/lakebridge_demo/analyzer_output/redshift_inventory.xlsx</t>
  </si>
  <si>
    <t>-t</t>
  </si>
  <si>
    <t>SQL</t>
  </si>
  <si>
    <t>Analyzer run duration:</t>
  </si>
  <si>
    <t>0h, 0m, 0s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</si>
  <si>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</si>
  <si>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</si>
  <si>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</si>
  <si>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</si>
  <si>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</si>
  <si>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</si>
  <si>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</si>
  <si>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</si>
  <si>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</si>
  <si>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</si>
  <si>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</si>
  <si>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</si>
  <si>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01_simple.sql</t>
  </si>
  <si>
    <t>/Users/kavya.parashar/Documents/customer_demos/lakebridge_demo/redshift/01_simple.sql</t>
  </si>
  <si>
    <t>YES</t>
  </si>
  <si>
    <t>LOW</t>
  </si>
  <si>
    <t>DELETE,INSERT_INTO,READ_DML,TABLE_DDL,UPDATE</t>
  </si>
  <si>
    <t>Total Statement count: 6, Conventional Statement count: 3, Simple Statement count: 3, Pivot functions: 0, XML functions: 0, Loops: 0, Medium category breaks: 0, High category breaks: 0</t>
  </si>
  <si>
    <t>E633EDDE07B51630562D6A779FA812A1</t>
  </si>
  <si>
    <t>65a862b630bd083b762adab707324efa10bf3d35d8a44cae393fb8a910cff7341774c30a7915130180bab3f2fc8068c13eb55511ff16dfc8ccbeeb8e73fb11b1e69617fdac4f44f8</t>
  </si>
  <si>
    <t>02_medium.sql</t>
  </si>
  <si>
    <t>/Users/kavya.parashar/Documents/customer_demos/lakebridge_demo/redshift/02_medium.sql</t>
  </si>
  <si>
    <t>CTE_TABLE,READ_DML,TABLE_DDL</t>
  </si>
  <si>
    <t>Total Statement count: 5, Conventional Statement count: 5, Simple Statement count: 0, Pivot functions: 0, XML functions: 0, Loops: 0, Medium category breaks: 0, High category breaks: 0</t>
  </si>
  <si>
    <t>346D036F81930F41C62911D78FD95039</t>
  </si>
  <si>
    <t>bf55ca1c11269d75f529750cde3c4d04dab4b6f83800eab1e90177035110fb4b1774c30a7915130180bab3f2fc8068c13eb55511ff16dfc8cdba42bb5f4104af2bff2c91413a9413</t>
  </si>
  <si>
    <t>03_complex.sql</t>
  </si>
  <si>
    <t>/Users/kavya.parashar/Documents/customer_demos/lakebridge_demo/redshift/03_complex.sql</t>
  </si>
  <si>
    <t>CREATE_VIEW,CTE_TABLE,MATERIALIZED_VIEW_DDL,PROGRAM_DECLARATION,TABLE_DDL,UNKNOWN,WITH</t>
  </si>
  <si>
    <t>Incorrect Analysis Warning: 1, Total Statement count: 10, Conventional Statement count: 10, Simple Statement count: 0, Pivot functions: 0, XML functions: 0, Loops: 0, Medium category breaks: 0, High category breaks: 0</t>
  </si>
  <si>
    <t>96DAFA593CB65E32E1668C3B3E006CF4</t>
  </si>
  <si>
    <t>a9d1cbbb11f8934f49e7da4d97694b4c1db7cad6110dfcffe08c480de6297c431774c30a7915130180bab3f2fc8068c1a7bf90f3d86a967fdf9a6e7d6481f4b0d5f9d0f97e5a9d8f</t>
  </si>
  <si>
    <t>ETL</t>
  </si>
  <si>
    <t>04_very_complex.sql</t>
  </si>
  <si>
    <t>/Users/kavya.parashar/Documents/customer_demos/lakebridge_demo/redshift/04_very_complex.sql</t>
  </si>
  <si>
    <t>HIGH</t>
  </si>
  <si>
    <t>CALL,CLOSE_CURSOR,COMMIT,CREATE_PROCEDURE,CTE_TABLE,DYNAMIC_SQL,END_LOOP,EXCEPTION_WHEN_OTHERS,GET_ROW_COUNT,GRANT,INSERT_INTO,MERGE,OPEN,READ_DML,TABLE_DROP,UNKNOWN,UPDATE,VAR_ASSIGNMENT</t>
  </si>
  <si>
    <t>Total Statement count: 44, Conventional Statement count: 40, Simple Statement count: 4, Pivot functions: 0, XML functions: 0, Loops: 0, Medium category breaks: 1, High category breaks: 1</t>
  </si>
  <si>
    <t>5B03B0072021E9E2598AFE6A099C2D08</t>
  </si>
  <si>
    <t>ccf06e6b01c70ddf66306e58ee590b1476bebf0f5879a2d9907029e14a048fb4e62292560c82985a80bab3f2fc8068c1a7bf90f3d86a967fb7dac9ccc985402d0f026f2e5aa5ad20aa2edcb1cab643de</t>
  </si>
  <si>
    <t>SQL Script Categories</t>
  </si>
  <si>
    <t># of Occurrences</t>
  </si>
  <si>
    <t>CALL</t>
  </si>
  <si>
    <t>CLOSE_CURSOR</t>
  </si>
  <si>
    <t>COMMIT</t>
  </si>
  <si>
    <t>CREATE_PROCEDURE</t>
  </si>
  <si>
    <t>CREATE_VIEW</t>
  </si>
  <si>
    <t>CTE_TABLE</t>
  </si>
  <si>
    <t>DELETE</t>
  </si>
  <si>
    <t>DYNAMIC_SQL</t>
  </si>
  <si>
    <t>END_LOOP</t>
  </si>
  <si>
    <t>EXCEPTION_WHEN_OTHERS</t>
  </si>
  <si>
    <t>GET_ROW_COUNT</t>
  </si>
  <si>
    <t>GRANT</t>
  </si>
  <si>
    <t>INSERT_INTO</t>
  </si>
  <si>
    <t>MATERIALIZED_VIEW_DDL</t>
  </si>
  <si>
    <t>MERGE</t>
  </si>
  <si>
    <t>OPEN</t>
  </si>
  <si>
    <t>PROGRAM_DECLARATION</t>
  </si>
  <si>
    <t>READ_DML</t>
  </si>
  <si>
    <t>TABLE_DDL</t>
  </si>
  <si>
    <t>TABLE_DROP</t>
  </si>
  <si>
    <t>UNKNOWN</t>
  </si>
  <si>
    <t>UPDATE</t>
  </si>
  <si>
    <t>VAR_ASSIGNMENT</t>
  </si>
  <si>
    <t>WITH</t>
  </si>
  <si>
    <t>SQL unknown category scripts</t>
  </si>
  <si>
    <t>BEGIN          INSERT INTO meta.proc_audit (proc_name, run_date, started_at, status)     VALUES ('sp</t>
  </si>
  <si>
    <t>COPY events.user_events FROM 's3://my-bucket/events/manifests/2026-05-28.manifest' IAM_ROLE 'arn:aws</t>
  </si>
  <si>
    <t>CREATE EXTERNAL SCHEMA IF NOT EXISTS spectrum_raw FROM DATA CATALOG DATABASE 'raw_lake' IAM_ROLE 'ar</t>
  </si>
  <si>
    <t xml:space="preserve">CREATE MODEL ml.churn_v3 FROM (     SELECT  c360.total_spend_30d,             c360.order_count_30d, </t>
  </si>
  <si>
    <t xml:space="preserve">CREATE TEMP TABLE tmp_c360_stage (         customer_id     BIGINT,         snapshot_date   DATE,    </t>
  </si>
  <si>
    <t>END;</t>
  </si>
  <si>
    <t>EXIT WHEN NOT FOUND;</t>
  </si>
  <si>
    <t>LOOP         FETCH v_part_cur INTO v_partition;</t>
  </si>
  <si>
    <t>NULLIF(COUNT(DISTINCT o.order_id), 0)      AS avg_order_value,         RATIO_TO_REPORT(SUM(oi.quanti</t>
  </si>
  <si>
    <t>RAISE INFO 'Partition % -&gt; % rows', v_partition, v_rowcount;</t>
  </si>
  <si>
    <t>RAISE;</t>
  </si>
  <si>
    <t>UNLOAD ('SELECT * FROM events.mv_daily_user_metrics WHERE event_date = CURRENT_DATE - 1') TO 's3://m</t>
  </si>
  <si>
    <t>v_lower         TIMESTAMP;</t>
  </si>
  <si>
    <t>v_partition     VARCHAR(40);</t>
  </si>
  <si>
    <t>v_part_cur      REFCURSOR;</t>
  </si>
  <si>
    <t>v_rowcount      BIGINT := 0;</t>
  </si>
  <si>
    <t>v_start         TIMESTAMP := GETDATE();</t>
  </si>
  <si>
    <t>v_total         BIGINT := 0;</t>
  </si>
  <si>
    <t>v_upper         TIMESTAMP;</t>
  </si>
  <si>
    <t>Job Complexity Categorization</t>
  </si>
  <si>
    <t>Procedure or Function</t>
  </si>
  <si>
    <t>MEDIUM</t>
  </si>
  <si>
    <t>VERY_HIGH</t>
  </si>
  <si>
    <t>Name</t>
  </si>
  <si>
    <t>Pattern Type</t>
  </si>
  <si>
    <t>Source Node</t>
  </si>
  <si>
    <t>Target Node</t>
  </si>
  <si>
    <t>Additional Info</t>
  </si>
  <si>
    <t>Function</t>
  </si>
  <si>
    <t># of Calls</t>
  </si>
  <si>
    <t>GETDATE</t>
  </si>
  <si>
    <t>SUM</t>
  </si>
  <si>
    <t>COUNT</t>
  </si>
  <si>
    <t>DATEADD</t>
  </si>
  <si>
    <t>DATE_TRUNC</t>
  </si>
  <si>
    <t>USING</t>
  </si>
  <si>
    <t>SORTKEY</t>
  </si>
  <si>
    <t>DISTKEY</t>
  </si>
  <si>
    <t>LAG</t>
  </si>
  <si>
    <t>::VARCHAR</t>
  </si>
  <si>
    <t>DATEDIFF</t>
  </si>
  <si>
    <t>MIN</t>
  </si>
  <si>
    <t>MAX</t>
  </si>
  <si>
    <t>GROUP</t>
  </si>
  <si>
    <t>ROW_NUMBER</t>
  </si>
  <si>
    <t>NVL</t>
  </si>
  <si>
    <t>COALESCE</t>
  </si>
  <si>
    <t>LISTAGG</t>
  </si>
  <si>
    <t>IDENTITY</t>
  </si>
  <si>
    <t>MEDIAN</t>
  </si>
  <si>
    <t>ANY_VALUE</t>
  </si>
  <si>
    <t>UNLOAD</t>
  </si>
  <si>
    <t>RATIO_TO_REPORT</t>
  </si>
  <si>
    <t>HLL_CARDINALITY</t>
  </si>
  <si>
    <t>HLL_COMBINE</t>
  </si>
  <si>
    <t>MONTHS_BETWEEN</t>
  </si>
  <si>
    <t>::DECIMAL</t>
  </si>
  <si>
    <t>NAME::VARCHAR</t>
  </si>
  <si>
    <t>TRUNC</t>
  </si>
  <si>
    <t>::CHAR</t>
  </si>
  <si>
    <t>PERCENTILE_CONT</t>
  </si>
  <si>
    <t>SETTINGS</t>
  </si>
  <si>
    <t>GROUPING</t>
  </si>
  <si>
    <t>NULLIF</t>
  </si>
  <si>
    <t>SETS</t>
  </si>
  <si>
    <t>Script</t>
  </si>
  <si>
    <t>OBJECT</t>
  </si>
  <si>
    <t>CREATE</t>
  </si>
  <si>
    <t>READ</t>
  </si>
  <si>
    <t>WRITE</t>
  </si>
  <si>
    <t>DROP</t>
  </si>
  <si>
    <t>TRUNCATE</t>
  </si>
  <si>
    <t>TABLE_VARIABLE</t>
  </si>
  <si>
    <t>DATA</t>
  </si>
  <si>
    <t>FORMAT</t>
  </si>
  <si>
    <t>analytics.customer_360</t>
  </si>
  <si>
    <t>catalog.categories</t>
  </si>
  <si>
    <t>catalog.products</t>
  </si>
  <si>
    <t>category_tree</t>
  </si>
  <si>
    <t>events.mv_daily_user_metrics</t>
  </si>
  <si>
    <t>events.user_events</t>
  </si>
  <si>
    <t>meta.proc_audit</t>
  </si>
  <si>
    <t>meta.proc_errors</t>
  </si>
  <si>
    <t>order_facts</t>
  </si>
  <si>
    <t>sales.customers</t>
  </si>
  <si>
    <t>sales.order_items</t>
  </si>
  <si>
    <t>sales.orders</t>
  </si>
  <si>
    <t>shared_marketing.public.campaign_attribution</t>
  </si>
  <si>
    <t>spectrum_raw.session_lookup</t>
  </si>
  <si>
    <t>top_cat</t>
  </si>
  <si>
    <t>v_partition</t>
  </si>
  <si>
    <t>win</t>
  </si>
  <si>
    <t>CREATE: 1, READ: 2, WRITE: 3</t>
  </si>
  <si>
    <t>READ: 1</t>
  </si>
  <si>
    <t>CREATE: 1, READ: 2</t>
  </si>
  <si>
    <t>CREATE: 1, READ: 1</t>
  </si>
  <si>
    <t>CREATE: 1, READ: 3</t>
  </si>
  <si>
    <t>READ: 1, WRITE: 1</t>
  </si>
  <si>
    <t>READ: 2</t>
  </si>
  <si>
    <t>WRITE: 2</t>
  </si>
  <si>
    <t>WRITE: 1</t>
  </si>
  <si>
    <t>READ: 4</t>
  </si>
  <si>
    <t>Program</t>
  </si>
  <si>
    <t>Object</t>
  </si>
  <si>
    <t>Operation</t>
  </si>
  <si>
    <t>Count</t>
  </si>
  <si>
    <t>Parameter Name</t>
  </si>
  <si>
    <t>@example</t>
  </si>
  <si>
    <t>$1</t>
  </si>
  <si>
    <t>$2</t>
  </si>
  <si>
    <t>$3</t>
  </si>
  <si>
    <t>DDL DataType</t>
  </si>
  <si>
    <t>BIGINT</t>
  </si>
  <si>
    <t>BIGINT IDENTITY</t>
  </si>
  <si>
    <t>BOOLEAN DEFAULT TRUE</t>
  </si>
  <si>
    <t>CHAR</t>
  </si>
  <si>
    <t>DATE</t>
  </si>
  <si>
    <t>DATE GENERATED ALWAYS AS</t>
  </si>
  <si>
    <t>DECIMAL</t>
  </si>
  <si>
    <t>INTEGER</t>
  </si>
  <si>
    <t>INTEGER DEFAULT 50000</t>
  </si>
  <si>
    <t>INTEGER IDENTITY</t>
  </si>
  <si>
    <t>OUT BIGINT</t>
  </si>
  <si>
    <t>OUT VARCHAR</t>
  </si>
  <si>
    <t>SMALLINT</t>
  </si>
  <si>
    <t>SUPER</t>
  </si>
  <si>
    <t>TIMESTAMP</t>
  </si>
  <si>
    <t>TIMESTAMP DEFAULT GETDATE</t>
  </si>
  <si>
    <t>VARCHAR</t>
  </si>
  <si>
    <t>Worksheet Index</t>
  </si>
  <si>
    <t>Summary</t>
  </si>
  <si>
    <t>SQL Programs</t>
  </si>
  <si>
    <t>UNKNOWN SQL Category</t>
  </si>
  <si>
    <t>SQL Special Patterns</t>
  </si>
  <si>
    <t>Functions</t>
  </si>
  <si>
    <t>Functions by Script</t>
  </si>
  <si>
    <t>Scripts Functions Xref</t>
  </si>
  <si>
    <t>Referenced Objects</t>
  </si>
  <si>
    <t>Program-Object Xref</t>
  </si>
  <si>
    <t>RAW_PROGRAM_OBJECT_XREF</t>
  </si>
  <si>
    <t>RAW_PROGRAM_PARAM_LIST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</si>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</sst>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232</v>
      </c>
      <c r="E1" s="2" t="s">
        <v>21</v>
      </c>
      <c r="F1" s="2"/>
    </row>
    <row r="2" spans="1:6">
      <c r="D2" s="3" t="s">
        <v>233</v>
      </c>
      <c r="E2" s="2" t="s">
        <v>22</v>
      </c>
      <c r="F2" s="2"/>
    </row>
    <row r="3" spans="1:6">
      <c r="A3" s="4" t="s">
        <v>1</v>
      </c>
      <c r="B3" s="4"/>
      <c r="D3" s="3" t="s">
        <v>234</v>
      </c>
      <c r="E3" s="2" t="s">
        <v>23</v>
      </c>
      <c r="F3" s="2" t="s">
        <v>24</v>
      </c>
    </row>
    <row r="4" spans="1:6">
      <c r="A4" s="1" t="s">
        <v>2</v>
      </c>
      <c r="B4" s="5">
        <v>4</v>
      </c>
      <c r="D4" s="3" t="s">
        <v>76</v>
      </c>
      <c r="E4" s="2" t="s">
        <v>25</v>
      </c>
      <c r="F4" s="6"/>
    </row>
    <row r="5" spans="1:6">
      <c r="A5" s="1" t="s">
        <v>3</v>
      </c>
      <c r="B5" s="5">
        <v>4</v>
      </c>
      <c r="D5" s="3" t="s">
        <v>235</v>
      </c>
      <c r="E5" s="2" t="s">
        <v>26</v>
      </c>
      <c r="F5" s="6">
        <v>10000000000000</v>
      </c>
    </row>
    <row r="6" spans="1:6">
      <c r="A6" s="1" t="s">
        <v>4</v>
      </c>
      <c r="B6" s="5">
        <v>5</v>
      </c>
      <c r="D6" s="3" t="s">
        <v>236</v>
      </c>
      <c r="E6" s="2" t="s">
        <v>27</v>
      </c>
      <c r="F6" s="6" t="s">
        <v>28</v>
      </c>
    </row>
    <row r="7" spans="1:6">
      <c r="A7" s="1" t="s">
        <v>5</v>
      </c>
      <c r="B7" s="5">
        <v>0</v>
      </c>
      <c r="D7" s="3" t="s">
        <v>237</v>
      </c>
      <c r="E7" s="2" t="s">
        <v>29</v>
      </c>
      <c r="F7" s="6">
        <v>1</v>
      </c>
    </row>
    <row r="8" spans="1:6">
      <c r="A8" s="1" t="s">
        <v>6</v>
      </c>
      <c r="B8" s="5">
        <v>5</v>
      </c>
      <c r="D8" s="3" t="s">
        <v>238</v>
      </c>
      <c r="E8" s="2" t="s">
        <v>30</v>
      </c>
      <c r="F8" s="6" t="s">
        <v>31</v>
      </c>
    </row>
    <row r="9" spans="1:6">
      <c r="A9" s="1" t="s">
        <v>7</v>
      </c>
      <c r="B9" s="5">
        <v>1</v>
      </c>
      <c r="D9" s="3" t="s">
        <v>239</v>
      </c>
      <c r="E9" s="2" t="s">
        <v>32</v>
      </c>
      <c r="F9" s="6" t="s">
        <v>33</v>
      </c>
    </row>
    <row r="10" spans="1:6">
      <c r="A10" s="1" t="s">
        <v>8</v>
      </c>
      <c r="B10" s="5">
        <v>1</v>
      </c>
      <c r="D10" s="3" t="s">
        <v>240</v>
      </c>
      <c r="E10" s="2" t="s">
        <v>34</v>
      </c>
    </row>
    <row r="11" spans="1:6">
      <c r="A11" s="1" t="s">
        <v>9</v>
      </c>
      <c r="B11" s="5">
        <v>0</v>
      </c>
      <c r="D11" s="3" t="s">
        <v>241</v>
      </c>
      <c r="E11" s="6" t="s">
        <v>35</v>
      </c>
    </row>
    <row r="12" spans="1:6">
      <c r="A12" s="1" t="s">
        <v>10</v>
      </c>
      <c r="B12" s="5">
        <v>0</v>
      </c>
      <c r="D12" s="3" t="s">
        <v>242</v>
      </c>
    </row>
    <row r="13" spans="1:6">
      <c r="A13" s="1" t="s">
        <v>11</v>
      </c>
      <c r="B13" s="5">
        <v>1</v>
      </c>
      <c r="D13" s="3" t="s">
        <v>243</v>
      </c>
    </row>
    <row r="14" spans="1:6">
      <c r="A14" s="1" t="s">
        <v>12</v>
      </c>
      <c r="B14" s="5">
        <v>2</v>
      </c>
      <c r="D14" s="3" t="s">
        <v>244</v>
      </c>
    </row>
    <row r="15" spans="1:6">
      <c r="A15" s="1" t="s">
        <v>13</v>
      </c>
      <c r="B15" s="5">
        <v>0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0</v>
      </c>
    </row>
    <row r="18" spans="1:3">
      <c r="A18" s="1" t="s">
        <v>16</v>
      </c>
      <c r="B18" s="5">
        <v>0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592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68</v>
      </c>
    </row>
    <row r="25" spans="1:3">
      <c r="A25" s="4" t="s">
        <v>122</v>
      </c>
      <c r="B25" s="4"/>
      <c r="C25" s="4" t="s">
        <v>123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124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71</v>
      </c>
      <c r="B28" s="5">
        <f>COUNTIFS('SQL Programs'!E:E,"HIGH",'SQL Programs'!C:C,"YES",'SQL Programs'!L:L,"SQL")</f>
        <v>0</v>
      </c>
      <c r="C28" s="5">
        <f>SUMIFS('SQL Programs'!G:G,'SQL Programs'!E:E,"HIGH",'SQL Programs'!C:C,"YES",'SQL Programs'!L:L,"ETL")</f>
        <v>0</v>
      </c>
    </row>
    <row r="29" spans="1:3">
      <c r="A29" s="1" t="s">
        <v>125</v>
      </c>
      <c r="B29" s="5">
        <f>COUNTIFS('SQL Programs'!E:E,"VERY_HIGH",'SQL Programs'!C:C,"YES",'SQL Programs'!L:L,"SQL")</f>
        <v>0</v>
      </c>
      <c r="C29" s="5">
        <f>SUMIFS('SQL Programs'!G:G,'SQL Programs'!E:E,"VERY_HIGH",'SQL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SQL Special Patterns'!A1" display="SQL Special Patterns"/>
    <hyperlink ref="D7" location="'Functions'!A1" display="Functions"/>
    <hyperlink ref="D8" location="'Functions by Script'!A1" display="Functions by Script"/>
    <hyperlink ref="D9" location="'Scripts Functions Xref'!A1" display="Scripts Functions Xref"/>
    <hyperlink ref="D10" location="'Referenced Objects'!A1" display="Referenced Objects"/>
    <hyperlink ref="D11" location="'Program-Object Xref'!A1" display="Program-Object Xref"/>
    <hyperlink ref="D12" location="'RAW_PROGRAM_OBJECT_XREF'!A1" display="RAW_PROGRAM_OBJECT_XREF"/>
    <hyperlink ref="D13" location="'RAW_PROGRAM_PARAM_LIST'!A1" display="RAW_PROGRAM_PARAM_LIST"/>
    <hyperlink ref="D14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53</v>
      </c>
      <c r="E2" s="6" t="s">
        <v>51</v>
      </c>
      <c r="F2" s="6">
        <v>6</v>
      </c>
      <c r="G2" s="6">
        <v>0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33</v>
      </c>
    </row>
    <row r="3" spans="1:12">
      <c r="A3" s="6" t="s">
        <v>56</v>
      </c>
      <c r="B3" s="6" t="s">
        <v>57</v>
      </c>
      <c r="C3" s="6" t="s">
        <v>50</v>
      </c>
      <c r="D3" s="6">
        <v>99</v>
      </c>
      <c r="E3" s="6" t="s">
        <v>51</v>
      </c>
      <c r="F3" s="6">
        <v>5</v>
      </c>
      <c r="G3" s="6">
        <v>0</v>
      </c>
      <c r="H3" s="6" t="s">
        <v>58</v>
      </c>
      <c r="I3" s="6" t="s">
        <v>59</v>
      </c>
      <c r="J3" s="6" t="s">
        <v>60</v>
      </c>
      <c r="K3" s="6" t="s">
        <v>61</v>
      </c>
      <c r="L3" s="6" t="s">
        <v>33</v>
      </c>
    </row>
    <row r="4" spans="1:12">
      <c r="A4" s="6" t="s">
        <v>62</v>
      </c>
      <c r="B4" s="6" t="s">
        <v>63</v>
      </c>
      <c r="C4" s="6" t="s">
        <v>50</v>
      </c>
      <c r="D4" s="6">
        <v>193</v>
      </c>
      <c r="E4" s="6" t="s">
        <v>51</v>
      </c>
      <c r="F4" s="6">
        <v>10</v>
      </c>
      <c r="G4" s="6">
        <v>2</v>
      </c>
      <c r="H4" s="6" t="s">
        <v>64</v>
      </c>
      <c r="I4" s="6" t="s">
        <v>65</v>
      </c>
      <c r="J4" s="6" t="s">
        <v>66</v>
      </c>
      <c r="K4" s="6" t="s">
        <v>67</v>
      </c>
      <c r="L4" s="6" t="s">
        <v>68</v>
      </c>
    </row>
    <row r="5" spans="1:12">
      <c r="A5" s="6" t="s">
        <v>69</v>
      </c>
      <c r="B5" s="6" t="s">
        <v>70</v>
      </c>
      <c r="C5" s="6" t="s">
        <v>50</v>
      </c>
      <c r="D5" s="6">
        <v>247</v>
      </c>
      <c r="E5" s="6" t="s">
        <v>71</v>
      </c>
      <c r="F5" s="6">
        <v>44</v>
      </c>
      <c r="G5" s="6">
        <v>1</v>
      </c>
      <c r="H5" s="6" t="s">
        <v>72</v>
      </c>
      <c r="I5" s="6" t="s">
        <v>73</v>
      </c>
      <c r="J5" s="6" t="s">
        <v>74</v>
      </c>
      <c r="K5" s="6" t="s">
        <v>75</v>
      </c>
      <c r="L5" s="6" t="s">
        <v>68</v>
      </c>
    </row>
  </sheetData>
  <autoFilter ref="A1:L5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76</v>
      </c>
      <c r="B1" s="2" t="s">
        <v>77</v>
      </c>
    </row>
    <row r="2" spans="1:2">
      <c r="A2" s="6" t="s">
        <v>78</v>
      </c>
      <c r="B2" s="6">
        <v>1</v>
      </c>
    </row>
    <row r="3" spans="1:2">
      <c r="A3" s="6" t="s">
        <v>79</v>
      </c>
      <c r="B3" s="6">
        <v>1</v>
      </c>
    </row>
    <row r="4" spans="1:2">
      <c r="A4" s="6" t="s">
        <v>80</v>
      </c>
      <c r="B4" s="6">
        <v>1</v>
      </c>
    </row>
    <row r="5" spans="1:2">
      <c r="A5" s="6" t="s">
        <v>81</v>
      </c>
      <c r="B5" s="6">
        <v>1</v>
      </c>
    </row>
    <row r="6" spans="1:2">
      <c r="A6" s="6" t="s">
        <v>82</v>
      </c>
      <c r="B6" s="6">
        <v>1</v>
      </c>
    </row>
    <row r="7" spans="1:2">
      <c r="A7" s="6" t="s">
        <v>83</v>
      </c>
      <c r="B7" s="6">
        <v>3</v>
      </c>
    </row>
    <row r="8" spans="1:2">
      <c r="A8" s="6" t="s">
        <v>84</v>
      </c>
      <c r="B8" s="6">
        <v>1</v>
      </c>
    </row>
    <row r="9" spans="1:2">
      <c r="A9" s="6" t="s">
        <v>85</v>
      </c>
      <c r="B9" s="6">
        <v>2</v>
      </c>
    </row>
    <row r="10" spans="1:2">
      <c r="A10" s="6" t="s">
        <v>86</v>
      </c>
      <c r="B10" s="6">
        <v>1</v>
      </c>
    </row>
    <row r="11" spans="1:2">
      <c r="A11" s="6" t="s">
        <v>87</v>
      </c>
      <c r="B11" s="6">
        <v>1</v>
      </c>
    </row>
    <row r="12" spans="1:2">
      <c r="A12" s="6" t="s">
        <v>88</v>
      </c>
      <c r="B12" s="6">
        <v>2</v>
      </c>
    </row>
    <row r="13" spans="1:2">
      <c r="A13" s="6" t="s">
        <v>89</v>
      </c>
      <c r="B13" s="6">
        <v>1</v>
      </c>
    </row>
    <row r="14" spans="1:2">
      <c r="A14" s="6" t="s">
        <v>90</v>
      </c>
      <c r="B14" s="6">
        <v>2</v>
      </c>
    </row>
    <row r="15" spans="1:2">
      <c r="A15" s="6" t="s">
        <v>91</v>
      </c>
      <c r="B15" s="6">
        <v>1</v>
      </c>
    </row>
    <row r="16" spans="1:2">
      <c r="A16" s="6" t="s">
        <v>92</v>
      </c>
      <c r="B16" s="6">
        <v>1</v>
      </c>
    </row>
    <row r="17" spans="1:2">
      <c r="A17" s="6" t="s">
        <v>93</v>
      </c>
      <c r="B17" s="6">
        <v>1</v>
      </c>
    </row>
    <row r="18" spans="1:2">
      <c r="A18" s="6" t="s">
        <v>94</v>
      </c>
      <c r="B18" s="6">
        <v>2</v>
      </c>
    </row>
    <row r="19" spans="1:2">
      <c r="A19" s="6" t="s">
        <v>95</v>
      </c>
      <c r="B19" s="6">
        <v>8</v>
      </c>
    </row>
    <row r="20" spans="1:2">
      <c r="A20" s="6" t="s">
        <v>96</v>
      </c>
      <c r="B20" s="6">
        <v>4</v>
      </c>
    </row>
    <row r="21" spans="1:2">
      <c r="A21" s="6" t="s">
        <v>97</v>
      </c>
      <c r="B21" s="6">
        <v>1</v>
      </c>
    </row>
    <row r="22" spans="1:2">
      <c r="A22" s="6" t="s">
        <v>98</v>
      </c>
      <c r="B22" s="6">
        <v>19</v>
      </c>
    </row>
    <row r="23" spans="1:2">
      <c r="A23" s="6" t="s">
        <v>99</v>
      </c>
      <c r="B23" s="6">
        <v>2</v>
      </c>
    </row>
    <row r="24" spans="1:2">
      <c r="A24" s="6" t="s">
        <v>100</v>
      </c>
      <c r="B24" s="6">
        <v>6</v>
      </c>
    </row>
    <row r="25" spans="1:2">
      <c r="A25" s="6" t="s">
        <v>101</v>
      </c>
      <c r="B25" s="6">
        <v>1</v>
      </c>
    </row>
  </sheetData>
  <autoFilter ref="A1:B2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102</v>
      </c>
      <c r="B1" s="2" t="s">
        <v>77</v>
      </c>
    </row>
    <row r="2" spans="1:2">
      <c r="A2" s="6" t="s">
        <v>103</v>
      </c>
      <c r="B2" s="6">
        <v>1</v>
      </c>
    </row>
    <row r="3" spans="1:2">
      <c r="A3" s="6" t="s">
        <v>104</v>
      </c>
      <c r="B3" s="6">
        <v>1</v>
      </c>
    </row>
    <row r="4" spans="1:2">
      <c r="A4" s="6" t="s">
        <v>105</v>
      </c>
      <c r="B4" s="6">
        <v>1</v>
      </c>
    </row>
    <row r="5" spans="1:2">
      <c r="A5" s="6" t="s">
        <v>106</v>
      </c>
      <c r="B5" s="6">
        <v>1</v>
      </c>
    </row>
    <row r="6" spans="1:2">
      <c r="A6" s="6" t="s">
        <v>107</v>
      </c>
      <c r="B6" s="6">
        <v>1</v>
      </c>
    </row>
    <row r="7" spans="1:2">
      <c r="A7" s="6" t="s">
        <v>108</v>
      </c>
      <c r="B7" s="6">
        <v>1</v>
      </c>
    </row>
    <row r="8" spans="1:2">
      <c r="A8" s="6" t="s">
        <v>109</v>
      </c>
      <c r="B8" s="6">
        <v>1</v>
      </c>
    </row>
    <row r="9" spans="1:2">
      <c r="A9" s="6" t="s">
        <v>110</v>
      </c>
      <c r="B9" s="6">
        <v>1</v>
      </c>
    </row>
    <row r="10" spans="1:2">
      <c r="A10" s="6" t="s">
        <v>111</v>
      </c>
      <c r="B10" s="6">
        <v>1</v>
      </c>
    </row>
    <row r="11" spans="1:2">
      <c r="A11" s="6" t="s">
        <v>112</v>
      </c>
      <c r="B11" s="6">
        <v>1</v>
      </c>
    </row>
    <row r="12" spans="1:2">
      <c r="A12" s="6" t="s">
        <v>113</v>
      </c>
      <c r="B12" s="6">
        <v>1</v>
      </c>
    </row>
    <row r="13" spans="1:2">
      <c r="A13" s="6" t="s">
        <v>114</v>
      </c>
      <c r="B13" s="6">
        <v>1</v>
      </c>
    </row>
    <row r="14" spans="1:2">
      <c r="A14" s="6" t="s">
        <v>115</v>
      </c>
      <c r="B14" s="6">
        <v>1</v>
      </c>
    </row>
    <row r="15" spans="1:2">
      <c r="A15" s="6" t="s">
        <v>116</v>
      </c>
      <c r="B15" s="6">
        <v>1</v>
      </c>
    </row>
    <row r="16" spans="1:2">
      <c r="A16" s="6" t="s">
        <v>117</v>
      </c>
      <c r="B16" s="6">
        <v>1</v>
      </c>
    </row>
    <row r="17" spans="1:2">
      <c r="A17" s="6" t="s">
        <v>118</v>
      </c>
      <c r="B17" s="6">
        <v>1</v>
      </c>
    </row>
    <row r="18" spans="1:2">
      <c r="A18" s="6" t="s">
        <v>119</v>
      </c>
      <c r="B18" s="6">
        <v>1</v>
      </c>
    </row>
    <row r="19" spans="1:2">
      <c r="A19" s="6" t="s">
        <v>120</v>
      </c>
      <c r="B19" s="6">
        <v>1</v>
      </c>
    </row>
    <row r="20" spans="1:2">
      <c r="A20" s="6" t="s">
        <v>121</v>
      </c>
      <c r="B20" s="6">
        <v>1</v>
      </c>
    </row>
  </sheetData>
  <autoFilter ref="A1:B2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126</v>
      </c>
      <c r="B1" s="2" t="s">
        <v>127</v>
      </c>
      <c r="C1" s="2" t="s">
        <v>128</v>
      </c>
      <c r="D1" s="2" t="s">
        <v>129</v>
      </c>
      <c r="E1" s="2" t="s">
        <v>130</v>
      </c>
    </row>
  </sheetData>
  <autoFilter ref="A1:E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131</v>
      </c>
      <c r="B1" s="2" t="s">
        <v>132</v>
      </c>
    </row>
    <row r="2" spans="1:2">
      <c r="A2" s="6" t="s">
        <v>133</v>
      </c>
      <c r="B2" s="6">
        <v>14</v>
      </c>
    </row>
    <row r="3" spans="1:2">
      <c r="A3" s="6" t="s">
        <v>134</v>
      </c>
      <c r="B3" s="6">
        <v>12</v>
      </c>
    </row>
    <row r="4" spans="1:2">
      <c r="A4" s="6" t="s">
        <v>135</v>
      </c>
      <c r="B4" s="6">
        <v>10</v>
      </c>
    </row>
    <row r="5" spans="1:2">
      <c r="A5" s="6" t="s">
        <v>136</v>
      </c>
      <c r="B5" s="6">
        <v>9</v>
      </c>
    </row>
    <row r="6" spans="1:2">
      <c r="A6" s="6" t="s">
        <v>137</v>
      </c>
      <c r="B6" s="6">
        <v>8</v>
      </c>
    </row>
    <row r="7" spans="1:2">
      <c r="A7" s="6" t="s">
        <v>138</v>
      </c>
      <c r="B7" s="6">
        <v>7</v>
      </c>
    </row>
    <row r="8" spans="1:2">
      <c r="A8" s="6" t="s">
        <v>139</v>
      </c>
      <c r="B8" s="6">
        <v>6</v>
      </c>
    </row>
    <row r="9" spans="1:2">
      <c r="A9" s="6" t="s">
        <v>140</v>
      </c>
      <c r="B9" s="6">
        <v>6</v>
      </c>
    </row>
    <row r="10" spans="1:2">
      <c r="A10" s="6" t="s">
        <v>141</v>
      </c>
      <c r="B10" s="6">
        <v>4</v>
      </c>
    </row>
    <row r="11" spans="1:2">
      <c r="A11" s="6" t="s">
        <v>142</v>
      </c>
      <c r="B11" s="6">
        <v>4</v>
      </c>
    </row>
    <row r="12" spans="1:2">
      <c r="A12" s="6" t="s">
        <v>143</v>
      </c>
      <c r="B12" s="6">
        <v>4</v>
      </c>
    </row>
    <row r="13" spans="1:2">
      <c r="A13" s="6" t="s">
        <v>144</v>
      </c>
      <c r="B13" s="6">
        <v>4</v>
      </c>
    </row>
    <row r="14" spans="1:2">
      <c r="A14" s="6" t="s">
        <v>145</v>
      </c>
      <c r="B14" s="6">
        <v>4</v>
      </c>
    </row>
    <row r="15" spans="1:2">
      <c r="A15" s="6" t="s">
        <v>146</v>
      </c>
      <c r="B15" s="6">
        <v>3</v>
      </c>
    </row>
    <row r="16" spans="1:2">
      <c r="A16" s="6" t="s">
        <v>147</v>
      </c>
      <c r="B16" s="6">
        <v>3</v>
      </c>
    </row>
    <row r="17" spans="1:2">
      <c r="A17" s="6" t="s">
        <v>148</v>
      </c>
      <c r="B17" s="6">
        <v>3</v>
      </c>
    </row>
    <row r="18" spans="1:2">
      <c r="A18" s="6" t="s">
        <v>149</v>
      </c>
      <c r="B18" s="6">
        <v>2</v>
      </c>
    </row>
    <row r="19" spans="1:2">
      <c r="A19" s="6" t="s">
        <v>150</v>
      </c>
      <c r="B19" s="6">
        <v>2</v>
      </c>
    </row>
    <row r="20" spans="1:2">
      <c r="A20" s="6" t="s">
        <v>151</v>
      </c>
      <c r="B20" s="6">
        <v>2</v>
      </c>
    </row>
    <row r="21" spans="1:2">
      <c r="A21" s="6" t="s">
        <v>152</v>
      </c>
      <c r="B21" s="6">
        <v>2</v>
      </c>
    </row>
    <row r="22" spans="1:2">
      <c r="A22" s="6" t="s">
        <v>153</v>
      </c>
      <c r="B22" s="6">
        <v>2</v>
      </c>
    </row>
    <row r="23" spans="1:2">
      <c r="A23" s="6" t="s">
        <v>154</v>
      </c>
      <c r="B23" s="6">
        <v>1</v>
      </c>
    </row>
    <row r="24" spans="1:2">
      <c r="A24" s="6" t="s">
        <v>155</v>
      </c>
      <c r="B24" s="6">
        <v>1</v>
      </c>
    </row>
    <row r="25" spans="1:2">
      <c r="A25" s="6" t="s">
        <v>156</v>
      </c>
      <c r="B25" s="6">
        <v>1</v>
      </c>
    </row>
    <row r="26" spans="1:2">
      <c r="A26" s="6" t="s">
        <v>157</v>
      </c>
      <c r="B26" s="6">
        <v>1</v>
      </c>
    </row>
    <row r="27" spans="1:2">
      <c r="A27" s="6" t="s">
        <v>158</v>
      </c>
      <c r="B27" s="6">
        <v>1</v>
      </c>
    </row>
    <row r="28" spans="1:2">
      <c r="A28" s="6" t="s">
        <v>159</v>
      </c>
      <c r="B28" s="6">
        <v>1</v>
      </c>
    </row>
    <row r="29" spans="1:2">
      <c r="A29" s="6" t="s">
        <v>160</v>
      </c>
      <c r="B29" s="6">
        <v>1</v>
      </c>
    </row>
    <row r="30" spans="1:2">
      <c r="A30" s="6" t="s">
        <v>161</v>
      </c>
      <c r="B30" s="6">
        <v>1</v>
      </c>
    </row>
    <row r="31" spans="1:2">
      <c r="A31" s="6" t="s">
        <v>162</v>
      </c>
      <c r="B31" s="6">
        <v>1</v>
      </c>
    </row>
    <row r="32" spans="1:2">
      <c r="A32" s="6" t="s">
        <v>163</v>
      </c>
      <c r="B32" s="6">
        <v>1</v>
      </c>
    </row>
    <row r="33" spans="1:2">
      <c r="A33" s="6" t="s">
        <v>164</v>
      </c>
      <c r="B33" s="6">
        <v>1</v>
      </c>
    </row>
    <row r="34" spans="1:2">
      <c r="A34" s="6" t="s">
        <v>165</v>
      </c>
      <c r="B34" s="6">
        <v>1</v>
      </c>
    </row>
    <row r="35" spans="1:2">
      <c r="A35" s="6" t="s">
        <v>166</v>
      </c>
      <c r="B35" s="6">
        <v>1</v>
      </c>
    </row>
    <row r="36" spans="1:2">
      <c r="A36" s="6" t="s">
        <v>167</v>
      </c>
      <c r="B36" s="6">
        <v>1</v>
      </c>
    </row>
  </sheetData>
  <autoFilter ref="A1:B3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168</v>
      </c>
      <c r="B1" s="2" t="s">
        <v>131</v>
      </c>
      <c r="C1" s="2" t="s">
        <v>132</v>
      </c>
    </row>
    <row r="2" spans="1:3">
      <c r="A2" s="6" t="s">
        <v>57</v>
      </c>
      <c r="B2" s="6" t="s">
        <v>140</v>
      </c>
      <c r="C2" s="6">
        <v>2</v>
      </c>
    </row>
    <row r="3" spans="1:3">
      <c r="A3" s="6" t="s">
        <v>57</v>
      </c>
      <c r="B3" s="6" t="s">
        <v>143</v>
      </c>
      <c r="C3" s="6">
        <v>1</v>
      </c>
    </row>
    <row r="4" spans="1:3">
      <c r="A4" s="6" t="s">
        <v>57</v>
      </c>
      <c r="B4" s="6" t="s">
        <v>146</v>
      </c>
      <c r="C4" s="6">
        <v>1</v>
      </c>
    </row>
    <row r="5" spans="1:3">
      <c r="A5" s="6" t="s">
        <v>57</v>
      </c>
      <c r="B5" s="6" t="s">
        <v>137</v>
      </c>
      <c r="C5" s="6">
        <v>2</v>
      </c>
    </row>
    <row r="6" spans="1:3">
      <c r="A6" s="6" t="s">
        <v>57</v>
      </c>
      <c r="B6" s="6" t="s">
        <v>136</v>
      </c>
      <c r="C6" s="6">
        <v>2</v>
      </c>
    </row>
    <row r="7" spans="1:3">
      <c r="A7" s="6" t="s">
        <v>57</v>
      </c>
      <c r="B7" s="6" t="s">
        <v>150</v>
      </c>
      <c r="C7" s="6">
        <v>1</v>
      </c>
    </row>
    <row r="8" spans="1:3">
      <c r="A8" s="6" t="s">
        <v>57</v>
      </c>
      <c r="B8" s="6" t="s">
        <v>134</v>
      </c>
      <c r="C8" s="6">
        <v>6</v>
      </c>
    </row>
    <row r="9" spans="1:3">
      <c r="A9" s="6" t="s">
        <v>57</v>
      </c>
      <c r="B9" s="6" t="s">
        <v>141</v>
      </c>
      <c r="C9" s="6">
        <v>1</v>
      </c>
    </row>
    <row r="10" spans="1:3">
      <c r="A10" s="6" t="s">
        <v>57</v>
      </c>
      <c r="B10" s="6" t="s">
        <v>139</v>
      </c>
      <c r="C10" s="6">
        <v>2</v>
      </c>
    </row>
    <row r="11" spans="1:3">
      <c r="A11" s="6" t="s">
        <v>57</v>
      </c>
      <c r="B11" s="6" t="s">
        <v>138</v>
      </c>
      <c r="C11" s="6">
        <v>2</v>
      </c>
    </row>
    <row r="12" spans="1:3">
      <c r="A12" s="6" t="s">
        <v>57</v>
      </c>
      <c r="B12" s="6" t="s">
        <v>161</v>
      </c>
      <c r="C12" s="6">
        <v>1</v>
      </c>
    </row>
    <row r="13" spans="1:3">
      <c r="A13" s="6" t="s">
        <v>57</v>
      </c>
      <c r="B13" s="6" t="s">
        <v>133</v>
      </c>
      <c r="C13" s="6">
        <v>4</v>
      </c>
    </row>
    <row r="14" spans="1:3">
      <c r="A14" s="6" t="s">
        <v>57</v>
      </c>
      <c r="B14" s="6" t="s">
        <v>158</v>
      </c>
      <c r="C14" s="6">
        <v>1</v>
      </c>
    </row>
    <row r="15" spans="1:3">
      <c r="A15" s="6" t="s">
        <v>57</v>
      </c>
      <c r="B15" s="6" t="s">
        <v>147</v>
      </c>
      <c r="C15" s="6">
        <v>2</v>
      </c>
    </row>
    <row r="16" spans="1:3">
      <c r="A16" s="6" t="s">
        <v>57</v>
      </c>
      <c r="B16" s="6" t="s">
        <v>151</v>
      </c>
      <c r="C16" s="6">
        <v>1</v>
      </c>
    </row>
    <row r="17" spans="1:3">
      <c r="A17" s="6" t="s">
        <v>57</v>
      </c>
      <c r="B17" s="6" t="s">
        <v>148</v>
      </c>
      <c r="C17" s="6">
        <v>1</v>
      </c>
    </row>
    <row r="18" spans="1:3">
      <c r="A18" s="6" t="s">
        <v>57</v>
      </c>
      <c r="B18" s="6" t="s">
        <v>135</v>
      </c>
      <c r="C18" s="6">
        <v>2</v>
      </c>
    </row>
    <row r="19" spans="1:3">
      <c r="A19" s="6" t="s">
        <v>63</v>
      </c>
      <c r="B19" s="6" t="s">
        <v>146</v>
      </c>
      <c r="C19" s="6">
        <v>2</v>
      </c>
    </row>
    <row r="20" spans="1:3">
      <c r="A20" s="6" t="s">
        <v>63</v>
      </c>
      <c r="B20" s="6" t="s">
        <v>140</v>
      </c>
      <c r="C20" s="6">
        <v>2</v>
      </c>
    </row>
    <row r="21" spans="1:3">
      <c r="A21" s="6" t="s">
        <v>63</v>
      </c>
      <c r="B21" s="6" t="s">
        <v>139</v>
      </c>
      <c r="C21" s="6">
        <v>2</v>
      </c>
    </row>
    <row r="22" spans="1:3">
      <c r="A22" s="6" t="s">
        <v>63</v>
      </c>
      <c r="B22" s="6" t="s">
        <v>150</v>
      </c>
      <c r="C22" s="6">
        <v>1</v>
      </c>
    </row>
    <row r="23" spans="1:3">
      <c r="A23" s="6" t="s">
        <v>63</v>
      </c>
      <c r="B23" s="6" t="s">
        <v>148</v>
      </c>
      <c r="C23" s="6">
        <v>2</v>
      </c>
    </row>
    <row r="24" spans="1:3">
      <c r="A24" s="6" t="s">
        <v>63</v>
      </c>
      <c r="B24" s="6" t="s">
        <v>153</v>
      </c>
      <c r="C24" s="6">
        <v>2</v>
      </c>
    </row>
    <row r="25" spans="1:3">
      <c r="A25" s="6" t="s">
        <v>63</v>
      </c>
      <c r="B25" s="6" t="s">
        <v>147</v>
      </c>
      <c r="C25" s="6">
        <v>1</v>
      </c>
    </row>
    <row r="26" spans="1:3">
      <c r="A26" s="6" t="s">
        <v>63</v>
      </c>
      <c r="B26" s="6" t="s">
        <v>145</v>
      </c>
      <c r="C26" s="6">
        <v>3</v>
      </c>
    </row>
    <row r="27" spans="1:3">
      <c r="A27" s="6" t="s">
        <v>63</v>
      </c>
      <c r="B27" s="6" t="s">
        <v>152</v>
      </c>
      <c r="C27" s="6">
        <v>2</v>
      </c>
    </row>
    <row r="28" spans="1:3">
      <c r="A28" s="6" t="s">
        <v>63</v>
      </c>
      <c r="B28" s="6" t="s">
        <v>143</v>
      </c>
      <c r="C28" s="6">
        <v>2</v>
      </c>
    </row>
    <row r="29" spans="1:3">
      <c r="A29" s="6" t="s">
        <v>63</v>
      </c>
      <c r="B29" s="6" t="s">
        <v>154</v>
      </c>
      <c r="C29" s="6">
        <v>1</v>
      </c>
    </row>
    <row r="30" spans="1:3">
      <c r="A30" s="6" t="s">
        <v>63</v>
      </c>
      <c r="B30" s="6" t="s">
        <v>142</v>
      </c>
      <c r="C30" s="6">
        <v>4</v>
      </c>
    </row>
    <row r="31" spans="1:3">
      <c r="A31" s="6" t="s">
        <v>63</v>
      </c>
      <c r="B31" s="6" t="s">
        <v>134</v>
      </c>
      <c r="C31" s="6">
        <v>3</v>
      </c>
    </row>
    <row r="32" spans="1:3">
      <c r="A32" s="6" t="s">
        <v>63</v>
      </c>
      <c r="B32" s="6" t="s">
        <v>141</v>
      </c>
      <c r="C32" s="6">
        <v>3</v>
      </c>
    </row>
    <row r="33" spans="1:3">
      <c r="A33" s="6" t="s">
        <v>63</v>
      </c>
      <c r="B33" s="6" t="s">
        <v>136</v>
      </c>
      <c r="C33" s="6">
        <v>2</v>
      </c>
    </row>
    <row r="34" spans="1:3">
      <c r="A34" s="6" t="s">
        <v>63</v>
      </c>
      <c r="B34" s="6" t="s">
        <v>162</v>
      </c>
      <c r="C34" s="6">
        <v>1</v>
      </c>
    </row>
    <row r="35" spans="1:3">
      <c r="A35" s="6" t="s">
        <v>63</v>
      </c>
      <c r="B35" s="6" t="s">
        <v>163</v>
      </c>
      <c r="C35" s="6">
        <v>1</v>
      </c>
    </row>
    <row r="36" spans="1:3">
      <c r="A36" s="6" t="s">
        <v>63</v>
      </c>
      <c r="B36" s="6" t="s">
        <v>160</v>
      </c>
      <c r="C36" s="6">
        <v>1</v>
      </c>
    </row>
    <row r="37" spans="1:3">
      <c r="A37" s="6" t="s">
        <v>63</v>
      </c>
      <c r="B37" s="6" t="s">
        <v>144</v>
      </c>
      <c r="C37" s="6">
        <v>3</v>
      </c>
    </row>
    <row r="38" spans="1:3">
      <c r="A38" s="6" t="s">
        <v>63</v>
      </c>
      <c r="B38" s="6" t="s">
        <v>135</v>
      </c>
      <c r="C38" s="6">
        <v>4</v>
      </c>
    </row>
    <row r="39" spans="1:3">
      <c r="A39" s="6" t="s">
        <v>63</v>
      </c>
      <c r="B39" s="6" t="s">
        <v>159</v>
      </c>
      <c r="C39" s="6">
        <v>1</v>
      </c>
    </row>
    <row r="40" spans="1:3">
      <c r="A40" s="6" t="s">
        <v>63</v>
      </c>
      <c r="B40" s="6" t="s">
        <v>133</v>
      </c>
      <c r="C40" s="6">
        <v>2</v>
      </c>
    </row>
    <row r="41" spans="1:3">
      <c r="A41" s="6" t="s">
        <v>70</v>
      </c>
      <c r="B41" s="6" t="s">
        <v>140</v>
      </c>
      <c r="C41" s="6">
        <v>1</v>
      </c>
    </row>
    <row r="42" spans="1:3">
      <c r="A42" s="6" t="s">
        <v>70</v>
      </c>
      <c r="B42" s="6" t="s">
        <v>155</v>
      </c>
      <c r="C42" s="6">
        <v>1</v>
      </c>
    </row>
    <row r="43" spans="1:3">
      <c r="A43" s="6" t="s">
        <v>70</v>
      </c>
      <c r="B43" s="6" t="s">
        <v>149</v>
      </c>
      <c r="C43" s="6">
        <v>2</v>
      </c>
    </row>
    <row r="44" spans="1:3">
      <c r="A44" s="6" t="s">
        <v>70</v>
      </c>
      <c r="B44" s="6" t="s">
        <v>143</v>
      </c>
      <c r="C44" s="6">
        <v>1</v>
      </c>
    </row>
    <row r="45" spans="1:3">
      <c r="A45" s="6" t="s">
        <v>70</v>
      </c>
      <c r="B45" s="6" t="s">
        <v>156</v>
      </c>
      <c r="C45" s="6">
        <v>1</v>
      </c>
    </row>
    <row r="46" spans="1:3">
      <c r="A46" s="6" t="s">
        <v>70</v>
      </c>
      <c r="B46" s="6" t="s">
        <v>166</v>
      </c>
      <c r="C46" s="6">
        <v>1</v>
      </c>
    </row>
    <row r="47" spans="1:3">
      <c r="A47" s="6" t="s">
        <v>70</v>
      </c>
      <c r="B47" s="6" t="s">
        <v>164</v>
      </c>
      <c r="C47" s="6">
        <v>1</v>
      </c>
    </row>
    <row r="48" spans="1:3">
      <c r="A48" s="6" t="s">
        <v>70</v>
      </c>
      <c r="B48" s="6" t="s">
        <v>136</v>
      </c>
      <c r="C48" s="6">
        <v>5</v>
      </c>
    </row>
    <row r="49" spans="1:3">
      <c r="A49" s="6" t="s">
        <v>70</v>
      </c>
      <c r="B49" s="6" t="s">
        <v>137</v>
      </c>
      <c r="C49" s="6">
        <v>6</v>
      </c>
    </row>
    <row r="50" spans="1:3">
      <c r="A50" s="6" t="s">
        <v>70</v>
      </c>
      <c r="B50" s="6" t="s">
        <v>165</v>
      </c>
      <c r="C50" s="6">
        <v>1</v>
      </c>
    </row>
    <row r="51" spans="1:3">
      <c r="A51" s="6" t="s">
        <v>70</v>
      </c>
      <c r="B51" s="6" t="s">
        <v>134</v>
      </c>
      <c r="C51" s="6">
        <v>3</v>
      </c>
    </row>
    <row r="52" spans="1:3">
      <c r="A52" s="6" t="s">
        <v>70</v>
      </c>
      <c r="B52" s="6" t="s">
        <v>139</v>
      </c>
      <c r="C52" s="6">
        <v>1</v>
      </c>
    </row>
    <row r="53" spans="1:3">
      <c r="A53" s="6" t="s">
        <v>70</v>
      </c>
      <c r="B53" s="6" t="s">
        <v>138</v>
      </c>
      <c r="C53" s="6">
        <v>5</v>
      </c>
    </row>
    <row r="54" spans="1:3">
      <c r="A54" s="6" t="s">
        <v>70</v>
      </c>
      <c r="B54" s="6" t="s">
        <v>167</v>
      </c>
      <c r="C54" s="6">
        <v>1</v>
      </c>
    </row>
    <row r="55" spans="1:3">
      <c r="A55" s="6" t="s">
        <v>70</v>
      </c>
      <c r="B55" s="6" t="s">
        <v>157</v>
      </c>
      <c r="C55" s="6">
        <v>1</v>
      </c>
    </row>
    <row r="56" spans="1:3">
      <c r="A56" s="6" t="s">
        <v>70</v>
      </c>
      <c r="B56" s="6" t="s">
        <v>133</v>
      </c>
      <c r="C56" s="6">
        <v>8</v>
      </c>
    </row>
    <row r="57" spans="1:3">
      <c r="A57" s="6" t="s">
        <v>70</v>
      </c>
      <c r="B57" s="6" t="s">
        <v>135</v>
      </c>
      <c r="C57" s="6">
        <v>3</v>
      </c>
    </row>
    <row r="58" spans="1:3">
      <c r="A58" s="6" t="s">
        <v>49</v>
      </c>
      <c r="B58" s="6" t="s">
        <v>140</v>
      </c>
      <c r="C58" s="6">
        <v>1</v>
      </c>
    </row>
    <row r="59" spans="1:3">
      <c r="A59" s="6" t="s">
        <v>49</v>
      </c>
      <c r="B59" s="6" t="s">
        <v>151</v>
      </c>
      <c r="C59" s="6">
        <v>1</v>
      </c>
    </row>
    <row r="60" spans="1:3">
      <c r="A60" s="6" t="s">
        <v>49</v>
      </c>
      <c r="B60" s="6" t="s">
        <v>145</v>
      </c>
      <c r="C60" s="6">
        <v>1</v>
      </c>
    </row>
    <row r="61" spans="1:3">
      <c r="A61" s="6" t="s">
        <v>49</v>
      </c>
      <c r="B61" s="6" t="s">
        <v>144</v>
      </c>
      <c r="C61" s="6">
        <v>1</v>
      </c>
    </row>
    <row r="62" spans="1:3">
      <c r="A62" s="6" t="s">
        <v>49</v>
      </c>
      <c r="B62" s="6" t="s">
        <v>135</v>
      </c>
      <c r="C62" s="6">
        <v>1</v>
      </c>
    </row>
    <row r="63" spans="1:3">
      <c r="A63" s="6" t="s">
        <v>49</v>
      </c>
      <c r="B63" s="6" t="s">
        <v>139</v>
      </c>
      <c r="C63" s="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J5"/>
  <sheetViews>
    <sheetView workbookViewId="0"/>
  </sheetViews>
  <sheetFormatPr defaultRowHeight="15"/>
  <cols>
    <col min="1" max="1" width="80.7109375" customWidth="1"/>
    <col min="2" max="36" width="15.7109375" customWidth="1"/>
  </cols>
  <sheetData>
    <row r="1" spans="1:36">
      <c r="A1" s="2" t="s">
        <v>168</v>
      </c>
      <c r="B1" s="7" t="s">
        <v>133</v>
      </c>
      <c r="C1" s="7" t="s">
        <v>134</v>
      </c>
      <c r="D1" s="7" t="s">
        <v>135</v>
      </c>
      <c r="E1" s="7" t="s">
        <v>136</v>
      </c>
      <c r="F1" s="7" t="s">
        <v>137</v>
      </c>
      <c r="G1" s="7" t="s">
        <v>138</v>
      </c>
      <c r="H1" s="7" t="s">
        <v>139</v>
      </c>
      <c r="I1" s="7" t="s">
        <v>140</v>
      </c>
      <c r="J1" s="7" t="s">
        <v>141</v>
      </c>
      <c r="K1" s="7" t="s">
        <v>142</v>
      </c>
      <c r="L1" s="7" t="s">
        <v>143</v>
      </c>
      <c r="M1" s="7" t="s">
        <v>144</v>
      </c>
      <c r="N1" s="7" t="s">
        <v>145</v>
      </c>
      <c r="O1" s="7" t="s">
        <v>146</v>
      </c>
      <c r="P1" s="7" t="s">
        <v>147</v>
      </c>
      <c r="Q1" s="7" t="s">
        <v>148</v>
      </c>
      <c r="R1" s="7" t="s">
        <v>149</v>
      </c>
      <c r="S1" s="7" t="s">
        <v>150</v>
      </c>
      <c r="T1" s="7" t="s">
        <v>151</v>
      </c>
      <c r="U1" s="7" t="s">
        <v>152</v>
      </c>
      <c r="V1" s="7" t="s">
        <v>153</v>
      </c>
      <c r="W1" s="7" t="s">
        <v>154</v>
      </c>
      <c r="X1" s="7" t="s">
        <v>155</v>
      </c>
      <c r="Y1" s="7" t="s">
        <v>156</v>
      </c>
      <c r="Z1" s="7" t="s">
        <v>157</v>
      </c>
      <c r="AA1" s="7" t="s">
        <v>158</v>
      </c>
      <c r="AB1" s="7" t="s">
        <v>159</v>
      </c>
      <c r="AC1" s="7" t="s">
        <v>160</v>
      </c>
      <c r="AD1" s="7" t="s">
        <v>161</v>
      </c>
      <c r="AE1" s="7" t="s">
        <v>162</v>
      </c>
      <c r="AF1" s="7" t="s">
        <v>163</v>
      </c>
      <c r="AG1" s="7" t="s">
        <v>164</v>
      </c>
      <c r="AH1" s="7" t="s">
        <v>165</v>
      </c>
      <c r="AI1" s="7" t="s">
        <v>166</v>
      </c>
      <c r="AJ1" s="7" t="s">
        <v>167</v>
      </c>
    </row>
    <row r="2" spans="1:36">
      <c r="A2" s="6" t="s">
        <v>57</v>
      </c>
      <c r="B2" s="6">
        <v>4</v>
      </c>
      <c r="C2" s="6">
        <v>6</v>
      </c>
      <c r="D2" s="6">
        <v>2</v>
      </c>
      <c r="E2" s="6">
        <v>2</v>
      </c>
      <c r="F2" s="6">
        <v>2</v>
      </c>
      <c r="G2" s="6">
        <v>2</v>
      </c>
      <c r="H2" s="6">
        <v>2</v>
      </c>
      <c r="I2" s="6">
        <v>2</v>
      </c>
      <c r="J2" s="6">
        <v>1</v>
      </c>
      <c r="L2" s="6">
        <v>1</v>
      </c>
      <c r="O2" s="6">
        <v>1</v>
      </c>
      <c r="P2" s="6">
        <v>2</v>
      </c>
      <c r="Q2" s="6">
        <v>1</v>
      </c>
      <c r="S2" s="6">
        <v>1</v>
      </c>
      <c r="T2" s="6">
        <v>1</v>
      </c>
      <c r="AA2" s="6">
        <v>1</v>
      </c>
      <c r="AD2" s="6">
        <v>1</v>
      </c>
    </row>
    <row r="3" spans="1:36">
      <c r="A3" s="6" t="s">
        <v>63</v>
      </c>
      <c r="B3" s="6">
        <v>2</v>
      </c>
      <c r="C3" s="6">
        <v>3</v>
      </c>
      <c r="D3" s="6">
        <v>4</v>
      </c>
      <c r="E3" s="6">
        <v>2</v>
      </c>
      <c r="H3" s="6">
        <v>2</v>
      </c>
      <c r="I3" s="6">
        <v>2</v>
      </c>
      <c r="J3" s="6">
        <v>3</v>
      </c>
      <c r="K3" s="6">
        <v>4</v>
      </c>
      <c r="L3" s="6">
        <v>2</v>
      </c>
      <c r="M3" s="6">
        <v>3</v>
      </c>
      <c r="N3" s="6">
        <v>3</v>
      </c>
      <c r="O3" s="6">
        <v>2</v>
      </c>
      <c r="P3" s="6">
        <v>1</v>
      </c>
      <c r="Q3" s="6">
        <v>2</v>
      </c>
      <c r="S3" s="6">
        <v>1</v>
      </c>
      <c r="U3" s="6">
        <v>2</v>
      </c>
      <c r="V3" s="6">
        <v>2</v>
      </c>
      <c r="W3" s="6">
        <v>1</v>
      </c>
      <c r="AB3" s="6">
        <v>1</v>
      </c>
      <c r="AC3" s="6">
        <v>1</v>
      </c>
      <c r="AE3" s="6">
        <v>1</v>
      </c>
      <c r="AF3" s="6">
        <v>1</v>
      </c>
    </row>
    <row r="4" spans="1:36">
      <c r="A4" s="6" t="s">
        <v>70</v>
      </c>
      <c r="B4" s="6">
        <v>8</v>
      </c>
      <c r="C4" s="6">
        <v>3</v>
      </c>
      <c r="D4" s="6">
        <v>3</v>
      </c>
      <c r="E4" s="6">
        <v>5</v>
      </c>
      <c r="F4" s="6">
        <v>6</v>
      </c>
      <c r="G4" s="6">
        <v>5</v>
      </c>
      <c r="H4" s="6">
        <v>1</v>
      </c>
      <c r="I4" s="6">
        <v>1</v>
      </c>
      <c r="L4" s="6">
        <v>1</v>
      </c>
      <c r="R4" s="6">
        <v>2</v>
      </c>
      <c r="X4" s="6">
        <v>1</v>
      </c>
      <c r="Y4" s="6">
        <v>1</v>
      </c>
      <c r="Z4" s="6">
        <v>1</v>
      </c>
      <c r="AG4" s="6">
        <v>1</v>
      </c>
      <c r="AH4" s="6">
        <v>1</v>
      </c>
      <c r="AI4" s="6">
        <v>1</v>
      </c>
      <c r="AJ4" s="6">
        <v>1</v>
      </c>
    </row>
    <row r="5" spans="1:36">
      <c r="A5" s="6" t="s">
        <v>49</v>
      </c>
      <c r="D5" s="6">
        <v>1</v>
      </c>
      <c r="H5" s="6">
        <v>1</v>
      </c>
      <c r="I5" s="6">
        <v>1</v>
      </c>
      <c r="M5" s="6">
        <v>1</v>
      </c>
      <c r="N5" s="6">
        <v>1</v>
      </c>
      <c r="T5" s="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7" t="s">
        <v>169</v>
      </c>
      <c r="B1" s="7" t="s">
        <v>170</v>
      </c>
      <c r="C1" s="7" t="s">
        <v>171</v>
      </c>
      <c r="D1" s="7" t="s">
        <v>172</v>
      </c>
      <c r="E1" s="7" t="s">
        <v>173</v>
      </c>
      <c r="F1" s="7" t="s">
        <v>174</v>
      </c>
      <c r="G1" s="7" t="s">
        <v>175</v>
      </c>
    </row>
    <row r="2" spans="1:7">
      <c r="A2" s="6" t="s">
        <v>176</v>
      </c>
      <c r="C2" s="8">
        <v>1</v>
      </c>
    </row>
    <row r="3" spans="1:7">
      <c r="A3" s="6" t="s">
        <v>177</v>
      </c>
      <c r="C3" s="8">
        <v>1</v>
      </c>
    </row>
    <row r="4" spans="1:7">
      <c r="A4" s="6" t="s">
        <v>178</v>
      </c>
      <c r="C4" s="8">
        <v>1</v>
      </c>
      <c r="D4" s="8">
        <v>1</v>
      </c>
    </row>
    <row r="5" spans="1:7">
      <c r="A5" s="6" t="s">
        <v>179</v>
      </c>
      <c r="C5" s="8">
        <v>1</v>
      </c>
    </row>
    <row r="6" spans="1:7">
      <c r="A6" s="6" t="s">
        <v>180</v>
      </c>
      <c r="C6" s="8">
        <v>2</v>
      </c>
    </row>
    <row r="7" spans="1:7">
      <c r="A7" s="6" t="s">
        <v>181</v>
      </c>
      <c r="C7" s="8">
        <v>1</v>
      </c>
    </row>
    <row r="8" spans="1:7">
      <c r="A8" s="6" t="s">
        <v>182</v>
      </c>
      <c r="C8" s="8">
        <v>1</v>
      </c>
    </row>
    <row r="9" spans="1:7">
      <c r="A9" s="6" t="s">
        <v>183</v>
      </c>
      <c r="B9" s="8">
        <v>1</v>
      </c>
      <c r="C9" s="8">
        <v>4</v>
      </c>
    </row>
    <row r="10" spans="1:7">
      <c r="A10" s="6" t="s">
        <v>184</v>
      </c>
      <c r="D10" s="8">
        <v>2</v>
      </c>
    </row>
    <row r="11" spans="1:7">
      <c r="A11" s="6" t="s">
        <v>185</v>
      </c>
      <c r="D11" s="8">
        <v>1</v>
      </c>
    </row>
    <row r="12" spans="1:7">
      <c r="A12" s="6" t="s">
        <v>186</v>
      </c>
      <c r="C12" s="8">
        <v>1</v>
      </c>
    </row>
    <row r="13" spans="1:7">
      <c r="A13" s="6" t="s">
        <v>187</v>
      </c>
      <c r="B13" s="8">
        <v>1</v>
      </c>
      <c r="C13" s="8">
        <v>7</v>
      </c>
      <c r="D13" s="8">
        <v>3</v>
      </c>
    </row>
    <row r="14" spans="1:7">
      <c r="A14" s="6" t="s">
        <v>188</v>
      </c>
      <c r="B14" s="8">
        <v>1</v>
      </c>
      <c r="C14" s="8">
        <v>4</v>
      </c>
    </row>
    <row r="15" spans="1:7">
      <c r="A15" s="6" t="s">
        <v>189</v>
      </c>
      <c r="B15" s="8">
        <v>1</v>
      </c>
      <c r="C15" s="8">
        <v>1</v>
      </c>
    </row>
    <row r="16" spans="1:7">
      <c r="A16" s="6" t="s">
        <v>190</v>
      </c>
      <c r="C16" s="8">
        <v>1</v>
      </c>
    </row>
    <row r="17" spans="1:4">
      <c r="A17" s="6" t="s">
        <v>191</v>
      </c>
      <c r="C17" s="8">
        <v>1</v>
      </c>
    </row>
    <row r="18" spans="1:4">
      <c r="A18" s="6" t="s">
        <v>192</v>
      </c>
      <c r="C18" s="8">
        <v>1</v>
      </c>
    </row>
    <row r="19" spans="1:4">
      <c r="A19" s="6" t="s">
        <v>193</v>
      </c>
      <c r="D19" s="8">
        <v>1</v>
      </c>
    </row>
    <row r="20" spans="1:4">
      <c r="A20" s="6" t="s">
        <v>194</v>
      </c>
      <c r="C20" s="8">
        <v>1</v>
      </c>
    </row>
  </sheetData>
  <autoFilter ref="A1:G20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20" width="30.7109375" customWidth="1"/>
  </cols>
  <sheetData>
    <row r="1" spans="1:20">
      <c r="B1" s="7" t="s">
        <v>176</v>
      </c>
      <c r="C1" s="7" t="s">
        <v>177</v>
      </c>
      <c r="D1" s="7" t="s">
        <v>178</v>
      </c>
      <c r="E1" s="7" t="s">
        <v>179</v>
      </c>
      <c r="F1" s="7" t="s">
        <v>180</v>
      </c>
      <c r="G1" s="7" t="s">
        <v>181</v>
      </c>
      <c r="H1" s="7" t="s">
        <v>182</v>
      </c>
      <c r="I1" s="7" t="s">
        <v>183</v>
      </c>
      <c r="J1" s="7" t="s">
        <v>184</v>
      </c>
      <c r="K1" s="7" t="s">
        <v>185</v>
      </c>
      <c r="L1" s="7" t="s">
        <v>186</v>
      </c>
      <c r="M1" s="7" t="s">
        <v>187</v>
      </c>
      <c r="N1" s="7" t="s">
        <v>188</v>
      </c>
      <c r="O1" s="7" t="s">
        <v>189</v>
      </c>
      <c r="P1" s="7" t="s">
        <v>190</v>
      </c>
      <c r="Q1" s="7" t="s">
        <v>191</v>
      </c>
      <c r="R1" s="7" t="s">
        <v>192</v>
      </c>
      <c r="S1" s="7" t="s">
        <v>193</v>
      </c>
      <c r="T1" s="7" t="s">
        <v>194</v>
      </c>
    </row>
    <row r="2" spans="1:20">
      <c r="A2" s="2" t="s">
        <v>49</v>
      </c>
      <c r="M2" s="8" t="s">
        <v>195</v>
      </c>
    </row>
    <row r="3" spans="1:20">
      <c r="A3" s="2" t="s">
        <v>57</v>
      </c>
      <c r="L3" s="8" t="s">
        <v>196</v>
      </c>
      <c r="M3" s="8" t="s">
        <v>196</v>
      </c>
      <c r="N3" s="8" t="s">
        <v>197</v>
      </c>
      <c r="O3" s="8" t="s">
        <v>198</v>
      </c>
    </row>
    <row r="4" spans="1:20">
      <c r="A4" s="2" t="s">
        <v>63</v>
      </c>
      <c r="B4" s="8" t="s">
        <v>196</v>
      </c>
      <c r="C4" s="8" t="s">
        <v>196</v>
      </c>
      <c r="E4" s="8" t="s">
        <v>196</v>
      </c>
      <c r="G4" s="8" t="s">
        <v>196</v>
      </c>
      <c r="H4" s="8" t="s">
        <v>196</v>
      </c>
      <c r="I4" s="8" t="s">
        <v>199</v>
      </c>
      <c r="Q4" s="8" t="s">
        <v>196</v>
      </c>
    </row>
    <row r="5" spans="1:20">
      <c r="A5" s="2" t="s">
        <v>70</v>
      </c>
      <c r="D5" s="8" t="s">
        <v>200</v>
      </c>
      <c r="F5" s="8" t="s">
        <v>201</v>
      </c>
      <c r="I5" s="8" t="s">
        <v>196</v>
      </c>
      <c r="J5" s="8" t="s">
        <v>202</v>
      </c>
      <c r="K5" s="8" t="s">
        <v>203</v>
      </c>
      <c r="M5" s="8" t="s">
        <v>204</v>
      </c>
      <c r="N5" s="8" t="s">
        <v>201</v>
      </c>
      <c r="P5" s="8" t="s">
        <v>196</v>
      </c>
      <c r="R5" s="8" t="s">
        <v>196</v>
      </c>
      <c r="S5" s="8" t="s">
        <v>203</v>
      </c>
      <c r="T5" s="8" t="s">
        <v>196</v>
      </c>
    </row>
  </sheetData>
  <autoFilter ref="A1:T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cols>
    <col min="1" max="4" width="30.7109375" customWidth="1"/>
  </cols>
  <sheetData>
    <row r="1" spans="1:4">
      <c r="A1" s="7" t="s">
        <v>205</v>
      </c>
      <c r="B1" s="7" t="s">
        <v>206</v>
      </c>
      <c r="C1" s="7" t="s">
        <v>207</v>
      </c>
      <c r="D1" s="7" t="s">
        <v>208</v>
      </c>
    </row>
    <row r="2" spans="1:4">
      <c r="A2" s="6" t="s">
        <v>49</v>
      </c>
      <c r="B2" s="6" t="s">
        <v>187</v>
      </c>
      <c r="C2" s="6" t="s">
        <v>170</v>
      </c>
      <c r="D2" s="6">
        <v>1</v>
      </c>
    </row>
    <row r="3" spans="1:4">
      <c r="A3" s="6" t="s">
        <v>49</v>
      </c>
      <c r="B3" s="6" t="s">
        <v>187</v>
      </c>
      <c r="C3" s="6" t="s">
        <v>171</v>
      </c>
      <c r="D3" s="6">
        <v>2</v>
      </c>
    </row>
    <row r="4" spans="1:4">
      <c r="A4" s="6" t="s">
        <v>49</v>
      </c>
      <c r="B4" s="6" t="s">
        <v>187</v>
      </c>
      <c r="C4" s="6" t="s">
        <v>172</v>
      </c>
      <c r="D4" s="6">
        <v>3</v>
      </c>
    </row>
    <row r="5" spans="1:4">
      <c r="A5" s="6" t="s">
        <v>57</v>
      </c>
      <c r="B5" s="6" t="s">
        <v>186</v>
      </c>
      <c r="C5" s="6" t="s">
        <v>171</v>
      </c>
      <c r="D5" s="6">
        <v>1</v>
      </c>
    </row>
    <row r="6" spans="1:4">
      <c r="A6" s="6" t="s">
        <v>57</v>
      </c>
      <c r="B6" s="6" t="s">
        <v>187</v>
      </c>
      <c r="C6" s="6" t="s">
        <v>171</v>
      </c>
      <c r="D6" s="6">
        <v>1</v>
      </c>
    </row>
    <row r="7" spans="1:4">
      <c r="A7" s="6" t="s">
        <v>57</v>
      </c>
      <c r="B7" s="6" t="s">
        <v>188</v>
      </c>
      <c r="C7" s="6" t="s">
        <v>170</v>
      </c>
      <c r="D7" s="6">
        <v>1</v>
      </c>
    </row>
    <row r="8" spans="1:4">
      <c r="A8" s="6" t="s">
        <v>57</v>
      </c>
      <c r="B8" s="6" t="s">
        <v>188</v>
      </c>
      <c r="C8" s="6" t="s">
        <v>171</v>
      </c>
      <c r="D8" s="6">
        <v>2</v>
      </c>
    </row>
    <row r="9" spans="1:4">
      <c r="A9" s="6" t="s">
        <v>57</v>
      </c>
      <c r="B9" s="6" t="s">
        <v>189</v>
      </c>
      <c r="C9" s="6" t="s">
        <v>170</v>
      </c>
      <c r="D9" s="6">
        <v>1</v>
      </c>
    </row>
    <row r="10" spans="1:4">
      <c r="A10" s="6" t="s">
        <v>57</v>
      </c>
      <c r="B10" s="6" t="s">
        <v>189</v>
      </c>
      <c r="C10" s="6" t="s">
        <v>171</v>
      </c>
      <c r="D10" s="6">
        <v>1</v>
      </c>
    </row>
    <row r="11" spans="1:4">
      <c r="A11" s="6" t="s">
        <v>63</v>
      </c>
      <c r="B11" s="6" t="s">
        <v>176</v>
      </c>
      <c r="C11" s="6" t="s">
        <v>171</v>
      </c>
      <c r="D11" s="6">
        <v>1</v>
      </c>
    </row>
    <row r="12" spans="1:4">
      <c r="A12" s="6" t="s">
        <v>63</v>
      </c>
      <c r="B12" s="6" t="s">
        <v>177</v>
      </c>
      <c r="C12" s="6" t="s">
        <v>171</v>
      </c>
      <c r="D12" s="6">
        <v>1</v>
      </c>
    </row>
    <row r="13" spans="1:4">
      <c r="A13" s="6" t="s">
        <v>63</v>
      </c>
      <c r="B13" s="6" t="s">
        <v>179</v>
      </c>
      <c r="C13" s="6" t="s">
        <v>171</v>
      </c>
      <c r="D13" s="6">
        <v>1</v>
      </c>
    </row>
    <row r="14" spans="1:4">
      <c r="A14" s="6" t="s">
        <v>63</v>
      </c>
      <c r="B14" s="6" t="s">
        <v>181</v>
      </c>
      <c r="C14" s="6" t="s">
        <v>171</v>
      </c>
      <c r="D14" s="6">
        <v>1</v>
      </c>
    </row>
    <row r="15" spans="1:4">
      <c r="A15" s="6" t="s">
        <v>63</v>
      </c>
      <c r="B15" s="6" t="s">
        <v>182</v>
      </c>
      <c r="C15" s="6" t="s">
        <v>171</v>
      </c>
      <c r="D15" s="6">
        <v>1</v>
      </c>
    </row>
    <row r="16" spans="1:4">
      <c r="A16" s="6" t="s">
        <v>63</v>
      </c>
      <c r="B16" s="6" t="s">
        <v>183</v>
      </c>
      <c r="C16" s="6" t="s">
        <v>170</v>
      </c>
      <c r="D16" s="6">
        <v>1</v>
      </c>
    </row>
    <row r="17" spans="1:4">
      <c r="A17" s="6" t="s">
        <v>63</v>
      </c>
      <c r="B17" s="6" t="s">
        <v>183</v>
      </c>
      <c r="C17" s="6" t="s">
        <v>171</v>
      </c>
      <c r="D17" s="6">
        <v>3</v>
      </c>
    </row>
    <row r="18" spans="1:4">
      <c r="A18" s="6" t="s">
        <v>63</v>
      </c>
      <c r="B18" s="6" t="s">
        <v>191</v>
      </c>
      <c r="C18" s="6" t="s">
        <v>171</v>
      </c>
      <c r="D18" s="6">
        <v>1</v>
      </c>
    </row>
    <row r="19" spans="1:4">
      <c r="A19" s="6" t="s">
        <v>70</v>
      </c>
      <c r="B19" s="6" t="s">
        <v>178</v>
      </c>
      <c r="C19" s="6" t="s">
        <v>171</v>
      </c>
      <c r="D19" s="6">
        <v>1</v>
      </c>
    </row>
    <row r="20" spans="1:4">
      <c r="A20" s="6" t="s">
        <v>70</v>
      </c>
      <c r="B20" s="6" t="s">
        <v>178</v>
      </c>
      <c r="C20" s="6" t="s">
        <v>172</v>
      </c>
      <c r="D20" s="6">
        <v>1</v>
      </c>
    </row>
    <row r="21" spans="1:4">
      <c r="A21" s="6" t="s">
        <v>70</v>
      </c>
      <c r="B21" s="6" t="s">
        <v>180</v>
      </c>
      <c r="C21" s="6" t="s">
        <v>171</v>
      </c>
      <c r="D21" s="6">
        <v>2</v>
      </c>
    </row>
    <row r="22" spans="1:4">
      <c r="A22" s="6" t="s">
        <v>70</v>
      </c>
      <c r="B22" s="6" t="s">
        <v>183</v>
      </c>
      <c r="C22" s="6" t="s">
        <v>171</v>
      </c>
      <c r="D22" s="6">
        <v>1</v>
      </c>
    </row>
    <row r="23" spans="1:4">
      <c r="A23" s="6" t="s">
        <v>70</v>
      </c>
      <c r="B23" s="6" t="s">
        <v>184</v>
      </c>
      <c r="C23" s="6" t="s">
        <v>172</v>
      </c>
      <c r="D23" s="6">
        <v>2</v>
      </c>
    </row>
    <row r="24" spans="1:4">
      <c r="A24" s="6" t="s">
        <v>70</v>
      </c>
      <c r="B24" s="6" t="s">
        <v>185</v>
      </c>
      <c r="C24" s="6" t="s">
        <v>172</v>
      </c>
      <c r="D24" s="6">
        <v>1</v>
      </c>
    </row>
    <row r="25" spans="1:4">
      <c r="A25" s="6" t="s">
        <v>70</v>
      </c>
      <c r="B25" s="6" t="s">
        <v>187</v>
      </c>
      <c r="C25" s="6" t="s">
        <v>171</v>
      </c>
      <c r="D25" s="6">
        <v>4</v>
      </c>
    </row>
    <row r="26" spans="1:4">
      <c r="A26" s="6" t="s">
        <v>70</v>
      </c>
      <c r="B26" s="6" t="s">
        <v>188</v>
      </c>
      <c r="C26" s="6" t="s">
        <v>171</v>
      </c>
      <c r="D26" s="6">
        <v>2</v>
      </c>
    </row>
    <row r="27" spans="1:4">
      <c r="A27" s="6" t="s">
        <v>70</v>
      </c>
      <c r="B27" s="6" t="s">
        <v>190</v>
      </c>
      <c r="C27" s="6" t="s">
        <v>171</v>
      </c>
      <c r="D27" s="6">
        <v>1</v>
      </c>
    </row>
    <row r="28" spans="1:4">
      <c r="A28" s="6" t="s">
        <v>70</v>
      </c>
      <c r="B28" s="6" t="s">
        <v>192</v>
      </c>
      <c r="C28" s="6" t="s">
        <v>171</v>
      </c>
      <c r="D28" s="6">
        <v>1</v>
      </c>
    </row>
    <row r="29" spans="1:4">
      <c r="A29" s="6" t="s">
        <v>70</v>
      </c>
      <c r="B29" s="6" t="s">
        <v>193</v>
      </c>
      <c r="C29" s="6" t="s">
        <v>172</v>
      </c>
      <c r="D29" s="6">
        <v>1</v>
      </c>
    </row>
    <row r="30" spans="1:4">
      <c r="A30" s="6" t="s">
        <v>70</v>
      </c>
      <c r="B30" s="6" t="s">
        <v>194</v>
      </c>
      <c r="C30" s="6" t="s">
        <v>171</v>
      </c>
      <c r="D30" s="6">
        <v>1</v>
      </c>
    </row>
  </sheetData>
  <autoFilter ref="A1:D3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3" width="30.7109375" customWidth="1"/>
  </cols>
  <sheetData>
    <row r="1" spans="1:3">
      <c r="A1" s="7" t="s">
        <v>205</v>
      </c>
      <c r="B1" s="7" t="s">
        <v>209</v>
      </c>
      <c r="C1" s="7" t="s">
        <v>208</v>
      </c>
    </row>
    <row r="2" spans="1:3">
      <c r="A2" s="6" t="s">
        <v>49</v>
      </c>
      <c r="B2" s="6" t="s">
        <v>210</v>
      </c>
      <c r="C2" s="6">
        <v>3</v>
      </c>
    </row>
    <row r="3" spans="1:3">
      <c r="A3" s="6" t="s">
        <v>63</v>
      </c>
      <c r="B3" s="6" t="s">
        <v>211</v>
      </c>
      <c r="C3" s="6">
        <v>5</v>
      </c>
    </row>
    <row r="4" spans="1:3">
      <c r="A4" s="6" t="s">
        <v>70</v>
      </c>
      <c r="B4" s="6" t="s">
        <v>211</v>
      </c>
      <c r="C4" s="6">
        <v>3</v>
      </c>
    </row>
    <row r="5" spans="1:3">
      <c r="A5" s="6" t="s">
        <v>70</v>
      </c>
      <c r="B5" s="6" t="s">
        <v>212</v>
      </c>
      <c r="C5" s="6">
        <v>4</v>
      </c>
    </row>
    <row r="6" spans="1:3">
      <c r="A6" s="6" t="s">
        <v>70</v>
      </c>
      <c r="B6" s="6" t="s">
        <v>213</v>
      </c>
      <c r="C6" s="6">
        <v>1</v>
      </c>
    </row>
  </sheetData>
  <autoFilter ref="A1:C6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214</v>
      </c>
      <c r="B1" s="2" t="s">
        <v>77</v>
      </c>
    </row>
    <row r="2" spans="1:2">
      <c r="A2" s="6" t="s">
        <v>215</v>
      </c>
      <c r="B2" s="6">
        <v>2</v>
      </c>
    </row>
    <row r="3" spans="1:2">
      <c r="A3" s="6" t="s">
        <v>216</v>
      </c>
      <c r="B3" s="6">
        <v>1</v>
      </c>
    </row>
    <row r="4" spans="1:2">
      <c r="A4" s="6" t="s">
        <v>217</v>
      </c>
      <c r="B4" s="6">
        <v>1</v>
      </c>
    </row>
    <row r="5" spans="1:2">
      <c r="A5" s="6" t="s">
        <v>218</v>
      </c>
      <c r="B5" s="6">
        <v>1</v>
      </c>
    </row>
    <row r="6" spans="1:2">
      <c r="A6" s="6" t="s">
        <v>219</v>
      </c>
      <c r="B6" s="6">
        <v>2</v>
      </c>
    </row>
    <row r="7" spans="1:2">
      <c r="A7" s="6" t="s">
        <v>220</v>
      </c>
      <c r="B7" s="6">
        <v>1</v>
      </c>
    </row>
    <row r="8" spans="1:2">
      <c r="A8" s="6" t="s">
        <v>221</v>
      </c>
      <c r="B8" s="6">
        <v>4</v>
      </c>
    </row>
    <row r="9" spans="1:2">
      <c r="A9" s="6" t="s">
        <v>222</v>
      </c>
      <c r="B9" s="6">
        <v>2</v>
      </c>
    </row>
    <row r="10" spans="1:2">
      <c r="A10" s="6" t="s">
        <v>223</v>
      </c>
      <c r="B10" s="6">
        <v>1</v>
      </c>
    </row>
    <row r="11" spans="1:2">
      <c r="A11" s="6" t="s">
        <v>224</v>
      </c>
      <c r="B11" s="6">
        <v>1</v>
      </c>
    </row>
    <row r="12" spans="1:2">
      <c r="A12" s="6" t="s">
        <v>225</v>
      </c>
      <c r="B12" s="6">
        <v>1</v>
      </c>
    </row>
    <row r="13" spans="1:2">
      <c r="A13" s="6" t="s">
        <v>226</v>
      </c>
      <c r="B13" s="6">
        <v>1</v>
      </c>
    </row>
    <row r="14" spans="1:2">
      <c r="A14" s="6" t="s">
        <v>227</v>
      </c>
      <c r="B14" s="6">
        <v>1</v>
      </c>
    </row>
    <row r="15" spans="1:2">
      <c r="A15" s="6" t="s">
        <v>228</v>
      </c>
      <c r="B15" s="6">
        <v>2</v>
      </c>
    </row>
    <row r="16" spans="1:2">
      <c r="A16" s="6" t="s">
        <v>229</v>
      </c>
      <c r="B16" s="6">
        <v>1</v>
      </c>
    </row>
    <row r="17" spans="1:2">
      <c r="A17" s="6" t="s">
        <v>230</v>
      </c>
      <c r="B17" s="6">
        <v>1</v>
      </c>
    </row>
    <row r="18" spans="1:2">
      <c r="A18" s="6" t="s">
        <v>231</v>
      </c>
      <c r="B18" s="6">
        <v>9</v>
      </c>
    </row>
  </sheetData>
  <autoFilter ref="A1:B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SQL Programs</vt:lpstr>
      <vt:lpstr>SQL Script Categories</vt:lpstr>
      <vt:lpstr>UNKNOWN SQL Category</vt:lpstr>
      <vt:lpstr>SQL Special Patterns</vt:lpstr>
      <vt:lpstr>Functions</vt:lpstr>
      <vt:lpstr>Functions by Script</vt:lpstr>
      <vt:lpstr>Scripts Functions Xref</vt:lpstr>
      <vt:lpstr>Referenced Objects</vt:lpstr>
      <vt:lpstr>Program-Object Xref</vt:lpstr>
      <vt:lpstr>RAW_PROGRAM_OBJECT_XREF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2026-05-28T18:12:17Z</dcterms:created>
  <dcterms:modified xsi:type="dcterms:W3CDTF">2026-05-28T18:12:17Z</dcterms:modified>
</cp:coreProperties>
</file>